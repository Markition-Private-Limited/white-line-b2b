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f6248f506a45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13939e6d55449ca"/>
    <x:sheet xmlns:r="http://schemas.openxmlformats.org/officeDocument/2006/relationships" name="Retest Detail" sheetId="2" r:id="Rbc9b129cb6d440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8">
    <x:font>
      <x:sz val="11"/>
      <x:name val="Carlito"/>
    </x:font>
    <x:font>
      <x:sz val="11"/>
      <x:color rgb="FF1F2937"/>
      <x:name val="Arial"/>
    </x:font>
    <x:font>
      <x:b/>
      <x:sz val="17"/>
      <x:color rgb="FF111827"/>
      <x:name val="Arial"/>
    </x:font>
    <x:font>
      <x:i/>
      <x:sz val="10"/>
      <x:color rgb="FF6B7280"/>
      <x:name val="Arial"/>
    </x:font>
    <x:font>
      <x:b/>
      <x:sz val="11"/>
      <x:color rgb="FFFFFFFF"/>
      <x:name val="Arial"/>
    </x:font>
    <x:font>
      <x:b/>
      <x:sz val="11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E2E8F0"/>
      </x:patternFill>
    </x:fill>
  </x:fills>
  <x:borders count="7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200" fontId="1" fillId="0" borderId="4" xfId="0" applyNumberFormat="1" applyFont="1" applyFill="1" applyBorder="1"/>
    <x:xf numFmtId="200" fontId="1" fillId="0" borderId="6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b0a2c737c24538" /><Relationship Type="http://schemas.openxmlformats.org/officeDocument/2006/relationships/theme" Target="/xl/theme/theme1.xml" Id="Re34eb2a61c5d4202" /><Relationship Type="http://schemas.openxmlformats.org/officeDocument/2006/relationships/sharedStrings" Target="/xl/sharedStrings.xml" Id="R61a3a447aecc422b" /><Relationship Type="http://schemas.openxmlformats.org/officeDocument/2006/relationships/worksheet" Target="/xl/worksheets/sheet1.xml" Id="R913939e6d55449ca" /><Relationship Type="http://schemas.openxmlformats.org/officeDocument/2006/relationships/worksheet" Target="/xl/worksheets/sheet2.xml" Id="Rbc9b129cb6d440af" /></Relationships>
</file>

<file path=xl/tables/table1.xml><?xml version="1.0" encoding="utf-8"?>
<x:table xmlns:x="http://schemas.openxmlformats.org/spreadsheetml/2006/main" id="1" name="RetestDetailTable" displayName="RetestDetailTable" ref="A1:G28" headerRowCount="1" totalsRowCount="0" totalsRowShown="0">
  <x:tableColumns count="7">
    <x:tableColumn id="1" name="Defect ID"/>
    <x:tableColumn id="2" name="02-Oct status"/>
    <x:tableColumn id="3" name="Current status"/>
    <x:tableColumn id="4" name="Module"/>
    <x:tableColumn id="5" name="Method"/>
    <x:tableColumn id="6" name="Evidence"/>
    <x:tableColumn id="7" name="Next 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62e524ba9364da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4" hidden="0" customWidth="1"/>
    <x:col min="4" max="4" width="26" hidden="0" customWidth="1"/>
    <x:col min="5" max="5" width="16" hidden="0" customWidth="1"/>
    <x:col min="6" max="6" width="12" hidden="0" customWidth="1"/>
  </x:cols>
  <x:sheetData>
    <x:row r="1" ht="20.399999618530273" hidden="0" customHeight="1">
      <x:c r="A1" s="2" t="str">
        <x:v>WhiteLine B2B defect retest</x:v>
      </x:c>
      <x:c r="B1" s="1"/>
      <x:c r="C1" s="1"/>
      <x:c r="D1" s="1"/>
      <x:c r="E1" s="1"/>
      <x:c r="F1" s="1"/>
    </x:row>
    <x:row r="2" ht="15" hidden="0" customHeight="1">
      <x:c r="A2" s="3" t="str">
        <x:v>Current deployment checked against the 27 items remaining after the 02-Oct report</x:v>
      </x:c>
      <x:c r="B2" s="1"/>
      <x:c r="C2" s="1"/>
      <x:c r="D2" s="1"/>
      <x:c r="E2" s="1"/>
      <x:c r="F2" s="1"/>
    </x:row>
    <x:row r="3" ht="15" hidden="0" customHeight="1">
      <x:c r="A3" s="1"/>
      <x:c r="B3" s="1"/>
      <x:c r="C3" s="1"/>
      <x:c r="D3" s="1"/>
      <x:c r="E3" s="1"/>
      <x:c r="F3" s="1"/>
    </x:row>
    <x:row r="4" ht="15" hidden="0" customHeight="1">
      <x:c r="A4" s="8" t="str">
        <x:v>Status</x:v>
      </x:c>
      <x:c r="B4" s="9" t="str">
        <x:v>Count</x:v>
      </x:c>
      <x:c r="C4" s="1"/>
      <x:c r="D4" s="8" t="str">
        <x:v>Metric</x:v>
      </x:c>
      <x:c r="E4" s="9" t="str">
        <x:v>Count</x:v>
      </x:c>
      <x:c r="F4" s="1"/>
    </x:row>
    <x:row r="5" ht="15" hidden="0" customHeight="1">
      <x:c r="A5" s="10" t="str">
        <x:v>Pass</x:v>
      </x:c>
      <x:c r="B5" s="14" t="n">
        <x:f>COUNTIF('Retest Detail'!$C$2:$C$28,A5)</x:f>
        <x:v>9</x:v>
      </x:c>
      <x:c r="C5" s="1"/>
      <x:c r="D5" s="10" t="str">
        <x:v>Original remaining</x:v>
      </x:c>
      <x:c r="E5" s="14" t="n">
        <x:v>27</x:v>
      </x:c>
      <x:c r="F5" s="1"/>
    </x:row>
    <x:row r="6" ht="15" hidden="0" customHeight="1">
      <x:c r="A6" s="10" t="str">
        <x:v>Fail</x:v>
      </x:c>
      <x:c r="B6" s="14" t="n">
        <x:f>COUNTIF('Retest Detail'!$C$2:$C$28,A6)</x:f>
        <x:v>11</x:v>
      </x:c>
      <x:c r="C6" s="1"/>
      <x:c r="D6" s="10" t="str">
        <x:v>Now closed</x:v>
      </x:c>
      <x:c r="E6" s="14" t="n">
        <x:f>B5</x:f>
        <x:v>9</x:v>
      </x:c>
      <x:c r="F6" s="1"/>
    </x:row>
    <x:row r="7" ht="15" hidden="0" customHeight="1">
      <x:c r="A7" s="10" t="str">
        <x:v>Partially Fixed</x:v>
      </x:c>
      <x:c r="B7" s="14" t="n">
        <x:f>COUNTIF('Retest Detail'!$C$2:$C$28,A7)</x:f>
        <x:v>4</x:v>
      </x:c>
      <x:c r="C7" s="1"/>
      <x:c r="D7" s="12" t="str">
        <x:v>Still requiring action</x:v>
      </x:c>
      <x:c r="E7" s="15" t="n">
        <x:f>SUM(B6:B8)</x:f>
        <x:v>18</x:v>
      </x:c>
      <x:c r="F7" s="1"/>
    </x:row>
    <x:row r="8" ht="15" hidden="0" customHeight="1">
      <x:c r="A8" s="12" t="str">
        <x:v>Need to Test</x:v>
      </x:c>
      <x:c r="B8" s="15" t="n">
        <x:f>COUNTIF('Retest Detail'!$C$2:$C$28,A8)</x:f>
        <x:v>3</x:v>
      </x:c>
      <x:c r="C8" s="1"/>
      <x:c r="D8" s="1"/>
      <x:c r="E8" s="1"/>
      <x:c r="F8" s="1"/>
    </x:row>
    <x:row r="9" ht="15" hidden="0" customHeight="1">
      <x:c r="A9" s="1"/>
      <x:c r="B9" s="1"/>
      <x:c r="C9" s="1"/>
      <x:c r="D9" s="1"/>
      <x:c r="E9" s="1"/>
      <x:c r="F9" s="1"/>
    </x:row>
    <x:row r="10" ht="15" hidden="0" customHeight="1">
      <x:c r="A10" s="7" t="str">
        <x:v>Notes</x:v>
      </x:c>
      <x:c r="B10" s="7"/>
      <x:c r="C10" s="7"/>
      <x:c r="D10" s="7"/>
      <x:c r="E10" s="7"/>
      <x:c r="F10" s="7"/>
    </x:row>
    <x:row r="11" ht="15" hidden="0" customHeight="1">
      <x:c r="A11" s="16" t="str">
        <x:v>Live site</x:v>
      </x:c>
      <x:c r="B11" s="16" t="str">
        <x:v>https://white-line-b2b.vercel.app</x:v>
      </x:c>
      <x:c r="C11" s="16"/>
      <x:c r="D11" s="16"/>
      <x:c r="E11" s="16"/>
      <x:c r="F11" s="16"/>
    </x:row>
    <x:row r="12" ht="15" hidden="0" customHeight="1">
      <x:c r="A12" s="16" t="str">
        <x:v>Source report</x:v>
      </x:c>
      <x:c r="B12" s="16" t="str">
        <x:v>WhiteLine_B2B_Test_Cases.xlsx - Defect Log.csv</x:v>
      </x:c>
      <x:c r="C12" s="16"/>
      <x:c r="D12" s="16"/>
      <x:c r="E12" s="16"/>
      <x:c r="F12" s="16"/>
    </x:row>
    <x:row r="13" ht="26.399999618530273" hidden="0" customHeight="1">
      <x:c r="A13" s="16" t="str">
        <x:v>Access limitation</x:v>
      </x:c>
      <x:c r="B13" s="16" t="str">
        <x:v>The second supplied Owner credential did not sign in. Finance/Operations cases remain pending.</x:v>
      </x:c>
      <x:c r="C13" s="16"/>
      <x:c r="D13" s="16"/>
      <x:c r="E13" s="16"/>
      <x:c r="F13" s="16"/>
    </x:row>
    <x:row r="14" ht="26.399999618530273" hidden="0" customHeight="1">
      <x:c r="A14" s="16" t="str">
        <x:v>Safe testing</x:v>
      </x:c>
      <x:c r="B14" s="16" t="str">
        <x:v>No user, service request, complaint or production record was created, deleted or deactivated.</x:v>
      </x:c>
      <x:c r="C14" s="16"/>
      <x:c r="D14" s="16"/>
      <x:c r="E14" s="16"/>
      <x:c r="F14" s="16"/>
    </x:row>
  </x:sheetData>
  <x:mergeCells>
    <x:mergeCell ref="A1:F1"/>
    <x:mergeCell ref="A2:F2"/>
    <x:mergeCell ref="A10:F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6" hidden="0" customWidth="1"/>
    <x:col min="3" max="3" width="18" hidden="0" customWidth="1"/>
    <x:col min="4" max="4" width="18" hidden="0" customWidth="1"/>
    <x:col min="5" max="5" width="17" hidden="0" customWidth="1"/>
    <x:col min="6" max="6" width="58" hidden="0" customWidth="1"/>
    <x:col min="7" max="7" width="42" hidden="0" customWidth="1"/>
  </x:cols>
  <x:sheetData>
    <x:row r="1" ht="15" hidden="0" customHeight="1">
      <x:c r="A1" s="21" t="str">
        <x:v>Defect ID</x:v>
      </x:c>
      <x:c r="B1" s="21" t="str">
        <x:v>02-Oct status</x:v>
      </x:c>
      <x:c r="C1" s="21" t="str">
        <x:v>Current status</x:v>
      </x:c>
      <x:c r="D1" s="21" t="str">
        <x:v>Module</x:v>
      </x:c>
      <x:c r="E1" s="21" t="str">
        <x:v>Method</x:v>
      </x:c>
      <x:c r="F1" s="21" t="str">
        <x:v>Evidence</x:v>
      </x:c>
      <x:c r="G1" s="21" t="str">
        <x:v>Next action</x:v>
      </x:c>
    </x:row>
    <x:row r="2" ht="15" hidden="0" customHeight="1">
      <x:c r="A2" s="22" t="str">
        <x:v>Def-006</x:v>
      </x:c>
      <x:c r="B2" s="22" t="str">
        <x:v>Need to Test</x:v>
      </x:c>
      <x:c r="C2" s="22" t="str">
        <x:v>Need to Test</x:v>
      </x:c>
      <x:c r="D2" s="22" t="str">
        <x:v>Access control</x:v>
      </x:c>
      <x:c r="E2" s="22" t="str">
        <x:v>Live</x:v>
      </x:c>
      <x:c r="F2" s="23" t="str">
        <x:v>Provided accounts are Admin and Owner. No Finance/Operations login was available.</x:v>
      </x:c>
      <x:c r="G2" s="23" t="str">
        <x:v>Provide a Finance/Operations test login.</x:v>
      </x:c>
    </x:row>
    <x:row r="3" ht="24" hidden="0" customHeight="1">
      <x:c r="A3" s="22" t="str">
        <x:v>Def-007</x:v>
      </x:c>
      <x:c r="B3" s="22" t="str">
        <x:v>Need to Test</x:v>
      </x:c>
      <x:c r="C3" s="22" t="str">
        <x:v>Need to Test</x:v>
      </x:c>
      <x:c r="D3" s="22" t="str">
        <x:v>Access control</x:v>
      </x:c>
      <x:c r="E3" s="22" t="str">
        <x:v>Live</x:v>
      </x:c>
      <x:c r="F3" s="23" t="str">
        <x:v>Deactivated-user login could not be tested without a suitable disposable Finance/Operations account.</x:v>
      </x:c>
      <x:c r="G3" s="23" t="str">
        <x:v>Provide a disposable Finance/Operations login.</x:v>
      </x:c>
    </x:row>
    <x:row r="4" ht="24" hidden="0" customHeight="1">
      <x:c r="A4" s="22" t="str">
        <x:v>Def-013</x:v>
      </x:c>
      <x:c r="B4" s="22" t="str">
        <x:v>Still Open</x:v>
      </x:c>
      <x:c r="C4" s="22" t="str">
        <x:v>Pass</x:v>
      </x:c>
      <x:c r="D4" s="22" t="str">
        <x:v>Contracts</x:v>
      </x:c>
      <x:c r="E4" s="22" t="str">
        <x:v>Live</x:v>
      </x:c>
      <x:c r="F4" s="23" t="str">
        <x:v>Create Request now offers Business Sedan, Economy Sedan and SUV from contract classes.</x:v>
      </x:c>
      <x:c r="G4" s="23" t="str">
        <x:v>Close.</x:v>
      </x:c>
    </x:row>
    <x:row r="5" ht="15" hidden="0" customHeight="1">
      <x:c r="A5" s="22" t="str">
        <x:v>Def-015</x:v>
      </x:c>
      <x:c r="B5" s="22" t="str">
        <x:v>Fail</x:v>
      </x:c>
      <x:c r="C5" s="22" t="str">
        <x:v>Fail</x:v>
      </x:c>
      <x:c r="D5" s="22" t="str">
        <x:v>Invoices</x:v>
      </x:c>
      <x:c r="E5" s="22" t="str">
        <x:v>Live</x:v>
      </x:c>
      <x:c r="F5" s="23" t="str">
        <x:v>Paid invoice details still show Drivers Required and Vehicles Required as em dashes.</x:v>
      </x:c>
      <x:c r="G5" s="23" t="str">
        <x:v>Backend must return service request quantities.</x:v>
      </x:c>
    </x:row>
    <x:row r="6" ht="15" hidden="0" customHeight="1">
      <x:c r="A6" s="22" t="str">
        <x:v>Def-018</x:v>
      </x:c>
      <x:c r="B6" s="22" t="str">
        <x:v>Still Open</x:v>
      </x:c>
      <x:c r="C6" s="22" t="str">
        <x:v>Fail</x:v>
      </x:c>
      <x:c r="D6" s="22" t="str">
        <x:v>Authentication</x:v>
      </x:c>
      <x:c r="E6" s="22" t="str">
        <x:v>Live</x:v>
      </x:c>
      <x:c r="F6" s="23" t="str">
        <x:v>Wrong password reloads Login, clears both fields and leaves no persistent error.</x:v>
      </x:c>
      <x:c r="G6" s="23" t="str">
        <x:v>Keep form state and display a persistent error.</x:v>
      </x:c>
    </x:row>
    <x:row r="7" ht="24" hidden="0" customHeight="1">
      <x:c r="A7" s="22" t="str">
        <x:v>Def-019</x:v>
      </x:c>
      <x:c r="B7" s="22" t="str">
        <x:v>Still Open</x:v>
      </x:c>
      <x:c r="C7" s="22" t="str">
        <x:v>Need to Test</x:v>
      </x:c>
      <x:c r="D7" s="22" t="str">
        <x:v>Authentication</x:v>
      </x:c>
      <x:c r="E7" s="22" t="str">
        <x:v>Live</x:v>
      </x:c>
      <x:c r="F7" s="23" t="str">
        <x:v>Fake-email invalid OTP stays on OTP screen, but a valid-account invalid OTP was not run because it sends an email.</x:v>
      </x:c>
      <x:c r="G7" s="23" t="str">
        <x:v>Approve OTP send to a valid test mailbox.</x:v>
      </x:c>
    </x:row>
    <x:row r="8" ht="15" hidden="0" customHeight="1">
      <x:c r="A8" s="22" t="str">
        <x:v>Def-021</x:v>
      </x:c>
      <x:c r="B8" s="22" t="str">
        <x:v>Still Open</x:v>
      </x:c>
      <x:c r="C8" s="22" t="str">
        <x:v>Fail</x:v>
      </x:c>
      <x:c r="D8" s="22" t="str">
        <x:v>Authentication</x:v>
      </x:c>
      <x:c r="E8" s="22" t="str">
        <x:v>Live</x:v>
      </x:c>
      <x:c r="F8" s="23" t="str">
        <x:v>Same live behavior as Def-018: no persistent wrong-credentials error.</x:v>
      </x:c>
      <x:c r="G8" s="23" t="str">
        <x:v>Fix with Def-018/037.</x:v>
      </x:c>
    </x:row>
    <x:row r="9" ht="24" hidden="0" customHeight="1">
      <x:c r="A9" s="22" t="str">
        <x:v>Def-023</x:v>
      </x:c>
      <x:c r="B9" s="22" t="str">
        <x:v>Still Open</x:v>
      </x:c>
      <x:c r="C9" s="22" t="str">
        <x:v>Pass</x:v>
      </x:c>
      <x:c r="D9" s="22" t="str">
        <x:v>Service requests</x:v>
      </x:c>
      <x:c r="E9" s="22" t="str">
        <x:v>Live</x:v>
      </x:c>
      <x:c r="F9" s="23" t="str">
        <x:v>Affected request no longer shows Corporate Mobility; category is blank when server has no class.</x:v>
      </x:c>
      <x:c r="G9" s="23" t="str">
        <x:v>Close.</x:v>
      </x:c>
    </x:row>
    <x:row r="10" ht="24" hidden="0" customHeight="1">
      <x:c r="A10" s="22" t="str">
        <x:v>Def-024</x:v>
      </x:c>
      <x:c r="B10" s="22" t="str">
        <x:v>Need to Test</x:v>
      </x:c>
      <x:c r="C10" s="22" t="str">
        <x:v>Partially Fixed</x:v>
      </x:c>
      <x:c r="D10" s="22" t="str">
        <x:v>Service requests</x:v>
      </x:c>
      <x:c r="E10" s="22" t="str">
        <x:v>Live + code</x:v>
      </x:c>
      <x:c r="F10" s="23" t="str">
        <x:v>UI only offers contract-matched classes. Server rejection of a tampered class was not submitted.</x:v>
      </x:c>
      <x:c r="G10" s="23" t="str">
        <x:v>Run authorized negative API submission.</x:v>
      </x:c>
    </x:row>
    <x:row r="11" ht="24" hidden="0" customHeight="1">
      <x:c r="A11" s="22" t="str">
        <x:v>Def-025</x:v>
      </x:c>
      <x:c r="B11" s="22" t="str">
        <x:v>Still Open</x:v>
      </x:c>
      <x:c r="C11" s="22" t="str">
        <x:v>Partially Fixed</x:v>
      </x:c>
      <x:c r="D11" s="22" t="str">
        <x:v>Complaints</x:v>
      </x:c>
      <x:c r="E11" s="22" t="str">
        <x:v>Live</x:v>
      </x:c>
      <x:c r="F11" s="23" t="str">
        <x:v>Full unique complaint IDs now display. Older complaints still show Submitted By as em dash.</x:v>
      </x:c>
      <x:c r="G11" s="23" t="str">
        <x:v>Backfill or define handling for legacy submitter data.</x:v>
      </x:c>
    </x:row>
    <x:row r="12" ht="15" hidden="0" customHeight="1">
      <x:c r="A12" s="22" t="str">
        <x:v>Def-028</x:v>
      </x:c>
      <x:c r="B12" s="22" t="str">
        <x:v>Fail</x:v>
      </x:c>
      <x:c r="C12" s="22" t="str">
        <x:v>Fail</x:v>
      </x:c>
      <x:c r="D12" s="22" t="str">
        <x:v>Invoices</x:v>
      </x:c>
      <x:c r="E12" s="22" t="str">
        <x:v>Live</x:v>
      </x:c>
      <x:c r="F12" s="23" t="str">
        <x:v>Company is correct, but driver and vehicle values remain em dashes.</x:v>
      </x:c>
      <x:c r="G12" s="23" t="str">
        <x:v>Fix invoice detail mapping.</x:v>
      </x:c>
    </x:row>
    <x:row r="13" ht="15" hidden="0" customHeight="1">
      <x:c r="A13" s="22" t="str">
        <x:v>Def-030</x:v>
      </x:c>
      <x:c r="B13" s="22" t="str">
        <x:v>Still Open</x:v>
      </x:c>
      <x:c r="C13" s="22" t="str">
        <x:v>Pass</x:v>
      </x:c>
      <x:c r="D13" s="22" t="str">
        <x:v>Contracts</x:v>
      </x:c>
      <x:c r="E13" s="22" t="str">
        <x:v>Live</x:v>
      </x:c>
      <x:c r="F13" s="23" t="str">
        <x:v>JPG contract is labelled with a .jpg filename and type Image.</x:v>
      </x:c>
      <x:c r="G13" s="23" t="str">
        <x:v>Close.</x:v>
      </x:c>
    </x:row>
    <x:row r="14" ht="15" hidden="0" customHeight="1">
      <x:c r="A14" s="22" t="str">
        <x:v>Def-031</x:v>
      </x:c>
      <x:c r="B14" s="22" t="str">
        <x:v>Still Open</x:v>
      </x:c>
      <x:c r="C14" s="22" t="str">
        <x:v>Pass</x:v>
      </x:c>
      <x:c r="D14" s="22" t="str">
        <x:v>Invoices</x:v>
      </x:c>
      <x:c r="E14" s="22" t="str">
        <x:v>Live</x:v>
      </x:c>
      <x:c r="F14" s="23" t="str">
        <x:v>Full invoice IDs are displayed and exact full-ID search returns the invoice.</x:v>
      </x:c>
      <x:c r="G14" s="23" t="str">
        <x:v>Close.</x:v>
      </x:c>
    </x:row>
    <x:row r="15" ht="15" hidden="0" customHeight="1">
      <x:c r="A15" s="22" t="str">
        <x:v>Def-034</x:v>
      </x:c>
      <x:c r="B15" s="22" t="str">
        <x:v>Still Open</x:v>
      </x:c>
      <x:c r="C15" s="22" t="str">
        <x:v>Pass</x:v>
      </x:c>
      <x:c r="D15" s="22" t="str">
        <x:v>Service requests</x:v>
      </x:c>
      <x:c r="E15" s="22" t="str">
        <x:v>Live</x:v>
      </x:c>
      <x:c r="F15" s="23" t="str">
        <x:v>Empty notes show a neutral no-instructions message; dummy text is gone.</x:v>
      </x:c>
      <x:c r="G15" s="23" t="str">
        <x:v>Close.</x:v>
      </x:c>
    </x:row>
    <x:row r="16" ht="15" hidden="0" customHeight="1">
      <x:c r="A16" s="22" t="str">
        <x:v>Def-035</x:v>
      </x:c>
      <x:c r="B16" s="22" t="str">
        <x:v>Still Open</x:v>
      </x:c>
      <x:c r="C16" s="22" t="str">
        <x:v>Fail</x:v>
      </x:c>
      <x:c r="D16" s="22" t="str">
        <x:v>Service requests</x:v>
      </x:c>
      <x:c r="E16" s="22" t="str">
        <x:v>Live + code</x:v>
      </x:c>
      <x:c r="F16" s="23" t="str">
        <x:v>Current form still has no past-start-date check and no minimum-driver validation.</x:v>
      </x:c>
      <x:c r="G16" s="23" t="str">
        <x:v>Add client and server validation.</x:v>
      </x:c>
    </x:row>
    <x:row r="17" ht="15" hidden="0" customHeight="1">
      <x:c r="A17" s="22" t="str">
        <x:v>Def-036</x:v>
      </x:c>
      <x:c r="B17" s="22" t="str">
        <x:v>Still Open</x:v>
      </x:c>
      <x:c r="C17" s="22" t="str">
        <x:v>Pass</x:v>
      </x:c>
      <x:c r="D17" s="22" t="str">
        <x:v>Service requests</x:v>
      </x:c>
      <x:c r="E17" s="22" t="str">
        <x:v>Live</x:v>
      </x:c>
      <x:c r="F17" s="23" t="str">
        <x:v>Past approved request no longer shows Cancel Request.</x:v>
      </x:c>
      <x:c r="G17" s="23" t="str">
        <x:v>Close.</x:v>
      </x:c>
    </x:row>
    <x:row r="18" ht="15" hidden="0" customHeight="1">
      <x:c r="A18" s="22" t="str">
        <x:v>Def-037</x:v>
      </x:c>
      <x:c r="B18" s="22" t="str">
        <x:v>Still Open</x:v>
      </x:c>
      <x:c r="C18" s="22" t="str">
        <x:v>Fail</x:v>
      </x:c>
      <x:c r="D18" s="22" t="str">
        <x:v>Authentication</x:v>
      </x:c>
      <x:c r="E18" s="22" t="str">
        <x:v>Live</x:v>
      </x:c>
      <x:c r="F18" s="23" t="str">
        <x:v>Wrong-password 401 still reloads Login and removes the message.</x:v>
      </x:c>
      <x:c r="G18" s="23" t="str">
        <x:v>Fix shared auth error handling.</x:v>
      </x:c>
    </x:row>
    <x:row r="19" ht="15" hidden="0" customHeight="1">
      <x:c r="A19" s="22" t="str">
        <x:v>Def-038</x:v>
      </x:c>
      <x:c r="B19" s="22" t="str">
        <x:v>Still Open</x:v>
      </x:c>
      <x:c r="C19" s="22" t="str">
        <x:v>Pass</x:v>
      </x:c>
      <x:c r="D19" s="22" t="str">
        <x:v>Complaints</x:v>
      </x:c>
      <x:c r="E19" s="22" t="str">
        <x:v>Live</x:v>
      </x:c>
      <x:c r="F19" s="23" t="str">
        <x:v>Complaint created 01 Oct at 22:58 now shows 01 Oct 2026 - 22:58.</x:v>
      </x:c>
      <x:c r="G19" s="23" t="str">
        <x:v>Close.</x:v>
      </x:c>
    </x:row>
    <x:row r="20" ht="15" hidden="0" customHeight="1">
      <x:c r="A20" s="22" t="str">
        <x:v>Def-039</x:v>
      </x:c>
      <x:c r="B20" s="22" t="str">
        <x:v>Still Open</x:v>
      </x:c>
      <x:c r="C20" s="22" t="str">
        <x:v>Partially Fixed</x:v>
      </x:c>
      <x:c r="D20" s="22" t="str">
        <x:v>Panels</x:v>
      </x:c>
      <x:c r="E20" s="22" t="str">
        <x:v>Live</x:v>
      </x:c>
      <x:c r="F20" s="23" t="str">
        <x:v>Escape closes Invoice and Complaint panels, but Contract panel remains open.</x:v>
      </x:c>
      <x:c r="G20" s="23" t="str">
        <x:v>Add Escape handling to Contract panel.</x:v>
      </x:c>
    </x:row>
    <x:row r="21" ht="24" hidden="0" customHeight="1">
      <x:c r="A21" s="22" t="str">
        <x:v>Def-040</x:v>
      </x:c>
      <x:c r="B21" s="22" t="str">
        <x:v>Need to Test</x:v>
      </x:c>
      <x:c r="C21" s="22" t="str">
        <x:v>Partially Fixed</x:v>
      </x:c>
      <x:c r="D21" s="22" t="str">
        <x:v>Invoices</x:v>
      </x:c>
      <x:c r="E21" s="22" t="str">
        <x:v>Live + code</x:v>
      </x:c>
      <x:c r="F21" s="23" t="str">
        <x:v>PDF generator includes Subtotal and VAT (15%). Browser popup prevented visual PDF inspection.</x:v>
      </x:c>
      <x:c r="G21" s="23" t="str">
        <x:v>Manually open the generated PDF once.</x:v>
      </x:c>
    </x:row>
    <x:row r="22" ht="15" hidden="0" customHeight="1">
      <x:c r="A22" s="22" t="str">
        <x:v>Def-041</x:v>
      </x:c>
      <x:c r="B22" s="22" t="str">
        <x:v>Still Open</x:v>
      </x:c>
      <x:c r="C22" s="22" t="str">
        <x:v>Pass</x:v>
      </x:c>
      <x:c r="D22" s="22" t="str">
        <x:v>Invoices</x:v>
      </x:c>
      <x:c r="E22" s="22" t="str">
        <x:v>Live</x:v>
      </x:c>
      <x:c r="F22" s="23" t="str">
        <x:v>Details now use INVOICE DATE and DUE DATE labels.</x:v>
      </x:c>
      <x:c r="G22" s="23" t="str">
        <x:v>Close.</x:v>
      </x:c>
    </x:row>
    <x:row r="23" ht="15" hidden="0" customHeight="1">
      <x:c r="A23" s="22" t="str">
        <x:v>Def-042</x:v>
      </x:c>
      <x:c r="B23" s="22" t="str">
        <x:v>Still Open</x:v>
      </x:c>
      <x:c r="C23" s="22" t="str">
        <x:v>Fail</x:v>
      </x:c>
      <x:c r="D23" s="22" t="str">
        <x:v>Complaints</x:v>
      </x:c>
      <x:c r="E23" s="22" t="str">
        <x:v>Live</x:v>
      </x:c>
      <x:c r="F23" s="23" t="str">
        <x:v>Complaint details still expose both Cancel Complaint and Delete Complaint.</x:v>
      </x:c>
      <x:c r="G23" s="23" t="str">
        <x:v>Confirm business rule and remove disallowed actions.</x:v>
      </x:c>
    </x:row>
    <x:row r="24" ht="24" hidden="0" customHeight="1">
      <x:c r="A24" s="22" t="str">
        <x:v>Def-044</x:v>
      </x:c>
      <x:c r="B24" s="22" t="str">
        <x:v>Fail</x:v>
      </x:c>
      <x:c r="C24" s="22" t="str">
        <x:v>Pass</x:v>
      </x:c>
      <x:c r="D24" s="22" t="str">
        <x:v>Authentication</x:v>
      </x:c>
      <x:c r="E24" s="22" t="str">
        <x:v>Live</x:v>
      </x:c>
      <x:c r="F24" s="23" t="str">
        <x:v>Unregistered email proceeds to generic OTP Verification instead of revealing that no account exists.</x:v>
      </x:c>
      <x:c r="G24" s="23" t="str">
        <x:v>Close.</x:v>
      </x:c>
    </x:row>
    <x:row r="25" ht="15" hidden="0" customHeight="1">
      <x:c r="A25" s="22" t="str">
        <x:v>Def-045</x:v>
      </x:c>
      <x:c r="B25" s="22" t="str">
        <x:v>Fail</x:v>
      </x:c>
      <x:c r="C25" s="22" t="str">
        <x:v>Fail</x:v>
      </x:c>
      <x:c r="D25" s="22" t="str">
        <x:v>Invoices</x:v>
      </x:c>
      <x:c r="E25" s="22" t="str">
        <x:v>Live</x:v>
      </x:c>
      <x:c r="F25" s="23" t="str">
        <x:v>29 Sept overdue invoice still shows unpaid and is counted in Due Soon.</x:v>
      </x:c>
      <x:c r="G25" s="23" t="str">
        <x:v>Derive overdue status consistently in API and filters.</x:v>
      </x:c>
    </x:row>
    <x:row r="26" ht="15" hidden="0" customHeight="1">
      <x:c r="A26" s="22" t="str">
        <x:v>Def-046</x:v>
      </x:c>
      <x:c r="B26" s="22" t="str">
        <x:v>Fail</x:v>
      </x:c>
      <x:c r="C26" s="22" t="str">
        <x:v>Fail</x:v>
      </x:c>
      <x:c r="D26" s="22" t="str">
        <x:v>Notifications</x:v>
      </x:c>
      <x:c r="E26" s="22" t="str">
        <x:v>Live + code</x:v>
      </x:c>
      <x:c r="F26" s="23" t="str">
        <x:v>Notification click handler only marks read; it does not navigate to the related invoice.</x:v>
      </x:c>
      <x:c r="G26" s="23" t="str">
        <x:v>Add entity-aware navigation.</x:v>
      </x:c>
    </x:row>
    <x:row r="27" ht="24" hidden="0" customHeight="1">
      <x:c r="A27" s="22" t="str">
        <x:v>Def-047</x:v>
      </x:c>
      <x:c r="B27" s="22" t="str">
        <x:v>Fail</x:v>
      </x:c>
      <x:c r="C27" s="22" t="str">
        <x:v>Fail</x:v>
      </x:c>
      <x:c r="D27" s="22" t="str">
        <x:v>Users</x:v>
      </x:c>
      <x:c r="E27" s="22" t="str">
        <x:v>Code + access check</x:v>
      </x:c>
      <x:c r="F27" s="23" t="str">
        <x:v>Create User still checks only 8-character length and does not validate full-name characters. Owner login failed.</x:v>
      </x:c>
      <x:c r="G27" s="23" t="str">
        <x:v>Align password/name rules on client and server.</x:v>
      </x:c>
    </x:row>
    <x:row r="28" ht="15" hidden="0" customHeight="1">
      <x:c r="A28" s="22" t="str">
        <x:v>Def-048</x:v>
      </x:c>
      <x:c r="B28" s="22" t="str">
        <x:v>Fail</x:v>
      </x:c>
      <x:c r="C28" s="22" t="str">
        <x:v>Fail</x:v>
      </x:c>
      <x:c r="D28" s="22" t="str">
        <x:v>Service requests</x:v>
      </x:c>
      <x:c r="E28" s="22" t="str">
        <x:v>Live</x:v>
      </x:c>
      <x:c r="F28" s="23" t="str">
        <x:v>Past request SR-1788915874349-QU8UC remains pending.</x:v>
      </x:c>
      <x:c r="G28" s="23" t="str">
        <x:v>Expire stale pending requests server-side.</x:v>
      </x:c>
    </x:row>
  </x:sheetData>
  <x:conditionalFormatting sqref="C2:C28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Partially"/>
    <x:cfRule type="containsText" dxfId="3" priority="4" operator="containsText" text="Need to Test"/>
  </x:conditionalFormatting>
  <x:pageMargins left="0.7" right="0.7" top="0.75" bottom="0.75" header="0.3" footer="0.3"/>
  <x:tableParts count="1">
    <x:tablePart xmlns:r="http://schemas.openxmlformats.org/officeDocument/2006/relationships" r:id="R862e524ba9364da3"/>
  </x:tableParts>
</x:worksheet>
</file>